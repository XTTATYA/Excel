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8_{83CB2221-6C31-475C-9378-B07BF80CEC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ivot Table" sheetId="3" r:id="rId1"/>
    <sheet name="Dataset" sheetId="1" r:id="rId2"/>
  </sheets>
  <definedNames>
    <definedName name="_xlnm._FilterDatabase" localSheetId="1" hidden="1">Dataset!$H$35:$H$35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 a="1"/>
  <c r="N9" i="1" s="1"/>
  <c r="N8" i="1" a="1"/>
  <c r="N8" i="1" s="1"/>
  <c r="M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I31" i="1"/>
  <c r="I3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I4" i="1" l="1"/>
  <c r="I20" i="1"/>
  <c r="I17" i="1"/>
  <c r="I18" i="1"/>
  <c r="I19" i="1"/>
  <c r="I3" i="1"/>
  <c r="I2" i="1"/>
  <c r="I22" i="1"/>
  <c r="I6" i="1"/>
  <c r="I21" i="1"/>
  <c r="I5" i="1"/>
  <c r="H35" i="1" a="1"/>
  <c r="H35" i="1" s="1"/>
  <c r="I12" i="1"/>
  <c r="I23" i="1"/>
  <c r="I7" i="1"/>
  <c r="I16" i="1"/>
  <c r="I15" i="1"/>
  <c r="I14" i="1"/>
  <c r="I13" i="1"/>
  <c r="I11" i="1"/>
  <c r="I26" i="1"/>
  <c r="I10" i="1"/>
  <c r="I25" i="1"/>
  <c r="I9" i="1"/>
  <c r="I24" i="1"/>
  <c r="I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<sst xmlns="http://schemas.openxmlformats.org/spreadsheetml/2006/main" count="77" uniqueCount="52">
  <si>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</si>
  <si>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</si>
  <si>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</si>
  <si>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</si>
  <si>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</si>
  <si>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</si>
  <si>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</si>
  <si>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</si>
  <si>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</si>
  <si>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</si>
  <si>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</si>
  <si>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</si>
  <si>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</si>
  <si>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</si>
  <si>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</si>
  <si>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</si>
  <si>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</si>
  <si>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</si>
  <si>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</si>
  <si>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</si>
  <si>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</si>
  <si>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</si>
  <si>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</si>
  <si>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</si>
  <si>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</si>
  <si>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</si>
  <si>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</si>
  <si>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</si>
  <si>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</si>
  <si>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</si>
  <si>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</si>
  <si>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</si>
  <si>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</si>
  <si>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</si>
  <si>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</si>
  <si>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</si>
  <si>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</si>
  <si>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Row Labels</t>
  </si>
  <si>
    <t>Grand Total</t>
  </si>
  <si>
    <t>StdDevp of Productivity_Score</t>
  </si>
  <si>
    <t>:- Lowest Value Most Consistent Department</t>
  </si>
  <si>
    <t>Marketing Department</t>
  </si>
  <si>
    <t>PEI</t>
  </si>
  <si>
    <t>Hours VS Ratings</t>
  </si>
  <si>
    <t xml:space="preserve">Task Vs Rating </t>
  </si>
  <si>
    <t>Task And Rating Have Higher Relation Between Each Other</t>
  </si>
  <si>
    <t>Positive Correlation</t>
  </si>
  <si>
    <t>Under Utilized Performers</t>
  </si>
  <si>
    <t>Rank</t>
  </si>
  <si>
    <t>Tasks Per Hour</t>
  </si>
  <si>
    <t>Most Efficient Employee</t>
  </si>
  <si>
    <t xml:space="preserve">Arjun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</si>
</sst>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2" borderId="10" xfId="0" applyFill="1" applyBorder="1"/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Productivity</a:t>
            </a:r>
            <a:r>
              <a:rPr lang="en-US" baseline="0"/>
              <a:t>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284864391951004"/>
          <c:y val="0.15763670166229224"/>
          <c:w val="0.66963057742782151"/>
          <c:h val="0.76375218722659666"/>
        </c:manualLayout>
      </c:layout>
      <c:barChart>
        <c:barDir val="bar"/>
        <c:grouping val="clustered"/>
        <c:varyColors val="0"/>
        <c:ser>
          <c:idx val="2"/>
          <c:order val="2"/>
          <c:tx>
            <c:v>Productivity Score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Dataset!$A$2:$C$6</c:f>
              <c:multiLvlStrCache>
                <c:ptCount val="5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IT</c:v>
                  </c:pt>
                </c:lvl>
                <c:lvl>
                  <c:pt idx="0">
                    <c:v>Rahul</c:v>
                  </c:pt>
                  <c:pt idx="1">
                    <c:v>Tanya</c:v>
                  </c:pt>
                  <c:pt idx="2">
                    <c:v>Rakesh</c:v>
                  </c:pt>
                  <c:pt idx="3">
                    <c:v>Neeraj</c:v>
                  </c:pt>
                  <c:pt idx="4">
                    <c:v>Riya</c:v>
                  </c:pt>
                </c:lvl>
                <c:lvl>
                  <c:pt idx="0">
                    <c:v>107</c:v>
                  </c:pt>
                  <c:pt idx="1">
                    <c:v>125</c:v>
                  </c:pt>
                  <c:pt idx="2">
                    <c:v>115</c:v>
                  </c:pt>
                  <c:pt idx="3">
                    <c:v>123</c:v>
                  </c:pt>
                  <c:pt idx="4">
                    <c:v>104</c:v>
                  </c:pt>
                </c:lvl>
              </c:multiLvlStrCache>
            </c:multiLvlStrRef>
          </c:cat>
          <c:val>
            <c:numRef>
              <c:f>Dataset!$F$2:$F$6</c:f>
              <c:numCache>
                <c:formatCode>General</c:formatCode>
                <c:ptCount val="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C4-4610-8EE1-85F5C0E8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90972240"/>
        <c:axId val="1390965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Dataset!$A$2:$C$6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IT</c:v>
                        </c:pt>
                        <c:pt idx="1">
                          <c:v>IT</c:v>
                        </c:pt>
                        <c:pt idx="2">
                          <c:v>IT</c:v>
                        </c:pt>
                        <c:pt idx="3">
                          <c:v>Marketing</c:v>
                        </c:pt>
                        <c:pt idx="4">
                          <c:v>IT</c:v>
                        </c:pt>
                      </c:lvl>
                      <c:lvl>
                        <c:pt idx="0">
                          <c:v>Rahul</c:v>
                        </c:pt>
                        <c:pt idx="1">
                          <c:v>Tanya</c:v>
                        </c:pt>
                        <c:pt idx="2">
                          <c:v>Rakesh</c:v>
                        </c:pt>
                        <c:pt idx="3">
                          <c:v>Neeraj</c:v>
                        </c:pt>
                        <c:pt idx="4">
                          <c:v>Riya</c:v>
                        </c:pt>
                      </c:lvl>
                      <c:lvl>
                        <c:pt idx="0">
                          <c:v>107</c:v>
                        </c:pt>
                        <c:pt idx="1">
                          <c:v>125</c:v>
                        </c:pt>
                        <c:pt idx="2">
                          <c:v>115</c:v>
                        </c:pt>
                        <c:pt idx="3">
                          <c:v>123</c:v>
                        </c:pt>
                        <c:pt idx="4">
                          <c:v>104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Dataset!$D$2:$D$6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47</c:v>
                      </c:pt>
                      <c:pt idx="2">
                        <c:v>48</c:v>
                      </c:pt>
                      <c:pt idx="3">
                        <c:v>46</c:v>
                      </c:pt>
                      <c:pt idx="4">
                        <c:v>45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0C4-4610-8EE1-85F5C0E8B0C7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Dataset!$A$2:$C$6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IT</c:v>
                        </c:pt>
                        <c:pt idx="1">
                          <c:v>IT</c:v>
                        </c:pt>
                        <c:pt idx="2">
                          <c:v>IT</c:v>
                        </c:pt>
                        <c:pt idx="3">
                          <c:v>Marketing</c:v>
                        </c:pt>
                        <c:pt idx="4">
                          <c:v>IT</c:v>
                        </c:pt>
                      </c:lvl>
                      <c:lvl>
                        <c:pt idx="0">
                          <c:v>Rahul</c:v>
                        </c:pt>
                        <c:pt idx="1">
                          <c:v>Tanya</c:v>
                        </c:pt>
                        <c:pt idx="2">
                          <c:v>Rakesh</c:v>
                        </c:pt>
                        <c:pt idx="3">
                          <c:v>Neeraj</c:v>
                        </c:pt>
                        <c:pt idx="4">
                          <c:v>Riya</c:v>
                        </c:pt>
                      </c:lvl>
                      <c:lvl>
                        <c:pt idx="0">
                          <c:v>107</c:v>
                        </c:pt>
                        <c:pt idx="1">
                          <c:v>125</c:v>
                        </c:pt>
                        <c:pt idx="2">
                          <c:v>115</c:v>
                        </c:pt>
                        <c:pt idx="3">
                          <c:v>123</c:v>
                        </c:pt>
                        <c:pt idx="4">
                          <c:v>104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Dataset!$E$2:$E$6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80</c:v>
                      </c:pt>
                      <c:pt idx="1">
                        <c:v>79</c:v>
                      </c:pt>
                      <c:pt idx="2">
                        <c:v>78</c:v>
                      </c:pt>
                      <c:pt idx="3">
                        <c:v>77</c:v>
                      </c:pt>
                      <c:pt idx="4">
                        <c:v>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0C4-4610-8EE1-85F5C0E8B0C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Dataset!$A$2:$C$6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IT</c:v>
                        </c:pt>
                        <c:pt idx="1">
                          <c:v>IT</c:v>
                        </c:pt>
                        <c:pt idx="2">
                          <c:v>IT</c:v>
                        </c:pt>
                        <c:pt idx="3">
                          <c:v>Marketing</c:v>
                        </c:pt>
                        <c:pt idx="4">
                          <c:v>IT</c:v>
                        </c:pt>
                      </c:lvl>
                      <c:lvl>
                        <c:pt idx="0">
                          <c:v>Rahul</c:v>
                        </c:pt>
                        <c:pt idx="1">
                          <c:v>Tanya</c:v>
                        </c:pt>
                        <c:pt idx="2">
                          <c:v>Rakesh</c:v>
                        </c:pt>
                        <c:pt idx="3">
                          <c:v>Neeraj</c:v>
                        </c:pt>
                        <c:pt idx="4">
                          <c:v>Riya</c:v>
                        </c:pt>
                      </c:lvl>
                      <c:lvl>
                        <c:pt idx="0">
                          <c:v>107</c:v>
                        </c:pt>
                        <c:pt idx="1">
                          <c:v>125</c:v>
                        </c:pt>
                        <c:pt idx="2">
                          <c:v>115</c:v>
                        </c:pt>
                        <c:pt idx="3">
                          <c:v>123</c:v>
                        </c:pt>
                        <c:pt idx="4">
                          <c:v>104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Dataset!$G$2:$G$6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0C4-4610-8EE1-85F5C0E8B0C7}"/>
                  </c:ext>
                </c:extLst>
              </c15:ser>
            </c15:filteredBarSeries>
          </c:ext>
        </c:extLst>
      </c:barChart>
      <c:catAx>
        <c:axId val="139097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65520"/>
        <c:crosses val="autoZero"/>
        <c:auto val="1"/>
        <c:lblAlgn val="ctr"/>
        <c:lblOffset val="100"/>
        <c:noMultiLvlLbl val="0"/>
      </c:catAx>
      <c:valAx>
        <c:axId val="139096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7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Hours</a:t>
            </a:r>
            <a:r>
              <a:rPr lang="en-US" baseline="0"/>
              <a:t> Worked And Productivity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86439195100607E-2"/>
          <c:y val="0.21805555555555556"/>
          <c:w val="0.87427755905511806"/>
          <c:h val="0.66166666666666663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Dataset!$F$1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Dataset!$D$2:$D$26</c:f>
              <c:numCache>
                <c:formatCode>General</c:formatCode>
                <c:ptCount val="25"/>
                <c:pt idx="0">
                  <c:v>50</c:v>
                </c:pt>
                <c:pt idx="1">
                  <c:v>47</c:v>
                </c:pt>
                <c:pt idx="2">
                  <c:v>48</c:v>
                </c:pt>
                <c:pt idx="3">
                  <c:v>46</c:v>
                </c:pt>
                <c:pt idx="4">
                  <c:v>45</c:v>
                </c:pt>
                <c:pt idx="5">
                  <c:v>44</c:v>
                </c:pt>
                <c:pt idx="6">
                  <c:v>43</c:v>
                </c:pt>
                <c:pt idx="7">
                  <c:v>42</c:v>
                </c:pt>
                <c:pt idx="8">
                  <c:v>40</c:v>
                </c:pt>
                <c:pt idx="9">
                  <c:v>41</c:v>
                </c:pt>
                <c:pt idx="10">
                  <c:v>39</c:v>
                </c:pt>
                <c:pt idx="11">
                  <c:v>38</c:v>
                </c:pt>
                <c:pt idx="12">
                  <c:v>37</c:v>
                </c:pt>
                <c:pt idx="13">
                  <c:v>35</c:v>
                </c:pt>
                <c:pt idx="14">
                  <c:v>36</c:v>
                </c:pt>
                <c:pt idx="15">
                  <c:v>34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30</c:v>
                </c:pt>
                <c:pt idx="20">
                  <c:v>29</c:v>
                </c:pt>
                <c:pt idx="21">
                  <c:v>28</c:v>
                </c:pt>
                <c:pt idx="22">
                  <c:v>27</c:v>
                </c:pt>
                <c:pt idx="23">
                  <c:v>26</c:v>
                </c:pt>
                <c:pt idx="24">
                  <c:v>25</c:v>
                </c:pt>
              </c:numCache>
            </c:numRef>
          </c:xVal>
          <c:yVal>
            <c:numRef>
              <c:f>Dataset!$F$2:$F$26</c:f>
              <c:numCache>
                <c:formatCode>General</c:formatCode>
                <c:ptCount val="2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90</c:v>
                </c:pt>
                <c:pt idx="9">
                  <c:v>89</c:v>
                </c:pt>
                <c:pt idx="10">
                  <c:v>87</c:v>
                </c:pt>
                <c:pt idx="11">
                  <c:v>85</c:v>
                </c:pt>
                <c:pt idx="12">
                  <c:v>83</c:v>
                </c:pt>
                <c:pt idx="13">
                  <c:v>80</c:v>
                </c:pt>
                <c:pt idx="14">
                  <c:v>78</c:v>
                </c:pt>
                <c:pt idx="15">
                  <c:v>76</c:v>
                </c:pt>
                <c:pt idx="16">
                  <c:v>75</c:v>
                </c:pt>
                <c:pt idx="17">
                  <c:v>74</c:v>
                </c:pt>
                <c:pt idx="18">
                  <c:v>72</c:v>
                </c:pt>
                <c:pt idx="19">
                  <c:v>70</c:v>
                </c:pt>
                <c:pt idx="20">
                  <c:v>68</c:v>
                </c:pt>
                <c:pt idx="21">
                  <c:v>65</c:v>
                </c:pt>
                <c:pt idx="22">
                  <c:v>64</c:v>
                </c:pt>
                <c:pt idx="23">
                  <c:v>62</c:v>
                </c:pt>
                <c:pt idx="2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0-4198-8FEC-17019275F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946320"/>
        <c:axId val="1390946800"/>
      </c:scatterChart>
      <c:valAx>
        <c:axId val="139094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46800"/>
        <c:crosses val="autoZero"/>
        <c:crossBetween val="midCat"/>
      </c:valAx>
      <c:valAx>
        <c:axId val="13909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4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27</xdr:row>
      <xdr:rowOff>57150</xdr:rowOff>
    </xdr:from>
    <xdr:to>
      <xdr:col>5</xdr:col>
      <xdr:colOff>990600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F8F8E-3729-C4FB-4FCB-4BDBDC724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42</xdr:row>
      <xdr:rowOff>57150</xdr:rowOff>
    </xdr:from>
    <xdr:to>
      <xdr:col>5</xdr:col>
      <xdr:colOff>962025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A0BFF-27D0-6555-29AB-623228621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447675</xdr:colOff>
      <xdr:row>55</xdr:row>
      <xdr:rowOff>123825</xdr:rowOff>
    </xdr:from>
    <xdr:to>
      <xdr:col>3</xdr:col>
      <xdr:colOff>552450</xdr:colOff>
      <xdr:row>57</xdr:row>
      <xdr:rowOff>38100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A2D35E3A-0EEC-C7D0-3C7D-6CE848B98F5C}"/>
            </a:ext>
          </a:extLst>
        </xdr:cNvPr>
        <xdr:cNvSpPr/>
      </xdr:nvSpPr>
      <xdr:spPr>
        <a:xfrm rot="16200000">
          <a:off x="3095625" y="11191875"/>
          <a:ext cx="314325" cy="104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1095375</xdr:colOff>
      <xdr:row>37</xdr:row>
      <xdr:rowOff>19050</xdr:rowOff>
    </xdr:from>
    <xdr:to>
      <xdr:col>9</xdr:col>
      <xdr:colOff>1095375</xdr:colOff>
      <xdr:row>38</xdr:row>
      <xdr:rowOff>142875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6550079-AC76-EFDD-5B04-C61336AE2EDD}"/>
            </a:ext>
          </a:extLst>
        </xdr:cNvPr>
        <xdr:cNvCxnSpPr/>
      </xdr:nvCxnSpPr>
      <xdr:spPr>
        <a:xfrm flipV="1">
          <a:off x="10820400" y="7381875"/>
          <a:ext cx="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er" refreshedDate="46105.728645023148" createdVersion="8" refreshedVersion="8" minRefreshableVersion="3" recordCount="25" xr:uid="{CFB239BD-B4A8-42D9-B289-FB3DCA10008A}">
  <cacheSource type="worksheet">
    <worksheetSource name="Table1"/>
  </cacheSource>
  <cacheFields count="7">
    <cacheField name="Employee_ID" numFmtId="0">
      <sharedItems containsSemiMixedTypes="0" containsString="0" containsNumber="1" containsInteger="1" minValue="101" maxValue="125"/>
    </cacheField>
    <cacheField name="Name" numFmtId="0">
      <sharedItems/>
    </cacheField>
    <cacheField name="Department" numFmtId="0">
      <sharedItems count="5">
        <s v="IT"/>
        <s v="Marketing"/>
        <s v="Sales"/>
        <s v="HR"/>
        <s v="Finance"/>
      </sharedItems>
    </cacheField>
    <cacheField name="Hours_Worked" numFmtId="0">
      <sharedItems containsSemiMixedTypes="0" containsString="0" containsNumber="1" containsInteger="1" minValue="25" maxValue="50"/>
    </cacheField>
    <cacheField name="Tasks_Completed" numFmtId="0">
      <sharedItems containsSemiMixedTypes="0" containsString="0" containsNumber="1" containsInteger="1" minValue="30" maxValue="80"/>
    </cacheField>
    <cacheField name="Productivity_Score" numFmtId="0">
      <sharedItems containsSemiMixedTypes="0" containsString="0" containsNumber="1" containsInteger="1" minValue="60" maxValue="100"/>
    </cacheField>
    <cacheField name="Performance_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7"/>
    <s v="Rahul"/>
    <x v="0"/>
    <n v="50"/>
    <n v="80"/>
    <n v="100"/>
    <n v="5"/>
  </r>
  <r>
    <n v="125"/>
    <s v="Tanya"/>
    <x v="0"/>
    <n v="47"/>
    <n v="79"/>
    <n v="99"/>
    <n v="5"/>
  </r>
  <r>
    <n v="115"/>
    <s v="Rakesh"/>
    <x v="0"/>
    <n v="48"/>
    <n v="78"/>
    <n v="98"/>
    <n v="5"/>
  </r>
  <r>
    <n v="123"/>
    <s v="Neeraj"/>
    <x v="1"/>
    <n v="46"/>
    <n v="77"/>
    <n v="96"/>
    <n v="5"/>
  </r>
  <r>
    <n v="104"/>
    <s v="Riya"/>
    <x v="0"/>
    <n v="45"/>
    <n v="75"/>
    <n v="95"/>
    <n v="5"/>
  </r>
  <r>
    <n v="112"/>
    <s v="Pooja"/>
    <x v="1"/>
    <n v="44"/>
    <n v="73"/>
    <n v="94"/>
    <n v="5"/>
  </r>
  <r>
    <n v="118"/>
    <s v="Arjun"/>
    <x v="1"/>
    <n v="43"/>
    <n v="75"/>
    <n v="93"/>
    <n v="5"/>
  </r>
  <r>
    <n v="109"/>
    <s v="Kunal"/>
    <x v="1"/>
    <n v="42"/>
    <n v="70"/>
    <n v="92"/>
    <n v="5"/>
  </r>
  <r>
    <n v="102"/>
    <s v="Meera"/>
    <x v="1"/>
    <n v="40"/>
    <n v="65"/>
    <n v="90"/>
    <n v="5"/>
  </r>
  <r>
    <n v="114"/>
    <s v="Deepak"/>
    <x v="2"/>
    <n v="41"/>
    <n v="66"/>
    <n v="89"/>
    <n v="4"/>
  </r>
  <r>
    <n v="119"/>
    <s v="Anjali"/>
    <x v="0"/>
    <n v="39"/>
    <n v="60"/>
    <n v="87"/>
    <n v="4"/>
  </r>
  <r>
    <n v="106"/>
    <s v="Neha"/>
    <x v="2"/>
    <n v="38"/>
    <n v="58"/>
    <n v="85"/>
    <n v="4"/>
  </r>
  <r>
    <n v="110"/>
    <s v="Sneha"/>
    <x v="2"/>
    <n v="37"/>
    <n v="55"/>
    <n v="83"/>
    <n v="4"/>
  </r>
  <r>
    <n v="101"/>
    <s v="Aakash"/>
    <x v="2"/>
    <n v="35"/>
    <n v="50"/>
    <n v="80"/>
    <n v="4"/>
  </r>
  <r>
    <n v="120"/>
    <s v="Suman"/>
    <x v="2"/>
    <n v="36"/>
    <n v="52"/>
    <n v="78"/>
    <n v="4"/>
  </r>
  <r>
    <n v="124"/>
    <s v="Akash"/>
    <x v="2"/>
    <n v="34"/>
    <n v="48"/>
    <n v="76"/>
    <n v="3"/>
  </r>
  <r>
    <n v="113"/>
    <s v="Varun"/>
    <x v="3"/>
    <n v="33"/>
    <n v="45"/>
    <n v="75"/>
    <n v="3"/>
  </r>
  <r>
    <n v="122"/>
    <s v="Jyoti"/>
    <x v="3"/>
    <n v="32"/>
    <n v="44"/>
    <n v="74"/>
    <n v="3"/>
  </r>
  <r>
    <n v="117"/>
    <s v="Sanjay"/>
    <x v="3"/>
    <n v="31"/>
    <n v="42"/>
    <n v="72"/>
    <n v="3"/>
  </r>
  <r>
    <n v="103"/>
    <s v="Suresh"/>
    <x v="3"/>
    <n v="30"/>
    <n v="40"/>
    <n v="70"/>
    <n v="3"/>
  </r>
  <r>
    <n v="111"/>
    <s v="Amit"/>
    <x v="4"/>
    <n v="29"/>
    <n v="38"/>
    <n v="68"/>
    <n v="3"/>
  </r>
  <r>
    <n v="108"/>
    <s v="Priya"/>
    <x v="3"/>
    <n v="28"/>
    <n v="35"/>
    <n v="65"/>
    <n v="3"/>
  </r>
  <r>
    <n v="121"/>
    <s v="Mohan"/>
    <x v="4"/>
    <n v="27"/>
    <n v="34"/>
    <n v="64"/>
    <n v="2"/>
  </r>
  <r>
    <n v="116"/>
    <s v="Kavita"/>
    <x v="4"/>
    <n v="26"/>
    <n v="32"/>
    <n v="62"/>
    <n v="2"/>
  </r>
  <r>
    <n v="105"/>
    <s v="Prakash"/>
    <x v="4"/>
    <n v="25"/>
    <n v="30"/>
    <n v="6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CABD8-E6B6-4197-8FF8-B937E9DB48B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p of Productivity_Score" fld="5" subtotal="stdDevp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CE787-EAFC-42D3-BA75-C7242DCED340}" name="Table1" displayName="Table1" ref="A1:J26" headerRowDxfId="2" dataDxfId="0" totalsRowDxfId="1" headerRowBorderDxfId="24" tableBorderDxfId="25" totalsRowBorderDxfId="23">
  <autoFilter ref="A1:J26" xr:uid="{AF3CE787-EAFC-42D3-BA75-C7242DCED340}"/>
  <sortState xmlns:xlrd2="http://schemas.microsoft.com/office/spreadsheetml/2017/richdata2" ref="A2:H26">
    <sortCondition descending="1" ref="F1:F26"/>
  </sortState>
  <tableColumns count="10">
    <tableColumn id="1" xr3:uid="{90A6BEE9-95C2-495E-9444-596247A49947}" name="Employee_ID" totalsRowLabel="Total" dataDxfId="12" totalsRowDxfId="13"/>
    <tableColumn id="2" xr3:uid="{920F1527-214D-48AB-B6CD-CBC7FAB0F590}" name="Name" dataDxfId="11" totalsRowDxfId="14"/>
    <tableColumn id="3" xr3:uid="{1B81A6B7-BEB0-46B8-AE02-4D29C40DB132}" name="Department" dataDxfId="10" totalsRowDxfId="15"/>
    <tableColumn id="4" xr3:uid="{569E9D69-22C1-45AB-A9DA-D45C02FD707C}" name="Hours_Worked" dataDxfId="9" totalsRowDxfId="16"/>
    <tableColumn id="5" xr3:uid="{73F8B3B2-3EDE-4095-8D31-93CDCA8B5E53}" name="Tasks_Completed" dataDxfId="8" totalsRowDxfId="17"/>
    <tableColumn id="6" xr3:uid="{CA581A23-E64A-4B0A-9832-3E0F71177F9D}" name="Productivity_Score" dataDxfId="7" totalsRowDxfId="18"/>
    <tableColumn id="7" xr3:uid="{4A10E423-9816-493D-978D-47E4FF2B8827}" name="Performance_Rating" dataDxfId="6" totalsRowDxfId="19"/>
    <tableColumn id="8" xr3:uid="{E8B1EE21-B8D2-4981-9664-6F663B0F21BD}" name="PEI" dataDxfId="5" totalsRowDxfId="20">
      <calculatedColumnFormula>Table1[[#This Row],[Productivity_Score]]*Table1[[#This Row],[Performance_Rating]]/Table1[[#This Row],[Hours_Worked]]</calculatedColumnFormula>
    </tableColumn>
    <tableColumn id="9" xr3:uid="{EC8F545D-3CD6-4FC7-8C6F-D3A0118AD888}" name="Rank" dataDxfId="4" totalsRowDxfId="21">
      <calculatedColumnFormula>RANK(Table1[[#This Row],[PEI]],Table1[PEI],0)</calculatedColumnFormula>
    </tableColumn>
    <tableColumn id="10" xr3:uid="{66506F46-BEA4-49B0-9DD8-B543D66D60F3}" name="Tasks Per Hour" totalsRowFunction="sum" dataDxfId="3" totalsRowDxfId="22">
      <calculatedColumnFormula>Table1[[#This Row],[Tasks_Completed]] / Table1[[#This Row],[Hours_Worked]]</calculatedColumnFormula>
    </tableColumn>
  </tableColumns>
  <tableStyleInfo name="TableStyleMedium8" showFirstColumn="0" showLastColumn="0" showRowStripes="1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C3AB-CB19-4BAA-9D84-3767FC7548D0}">
  <dimension ref="A3:B13"/>
  <sheetViews>
    <sheetView workbookViewId="0">
      <selection activeCell="B31" sqref="B31"/>
    </sheetView>
  </sheetViews>
  <sheetFormatPr defaultRowHeight="12.75" x14ac:dyDescent="0.2"/>
  <cols>
    <col min="1" max="1" width="13.85546875" bestFit="1" customWidth="1"/>
    <col min="2" max="2" width="39.140625" bestFit="1" customWidth="1"/>
  </cols>
  <sheetData>
    <row r="3" spans="1:2" x14ac:dyDescent="0.2">
      <c r="A3" s="1" t="s">
        <v>37</v>
      </c>
      <c r="B3" t="s">
        <v>39</v>
      </c>
    </row>
    <row r="4" spans="1:2" x14ac:dyDescent="0.2">
      <c r="A4" s="2" t="s">
        <v>16</v>
      </c>
      <c r="B4" s="3">
        <v>2.9580398915498081</v>
      </c>
    </row>
    <row r="5" spans="1:2" x14ac:dyDescent="0.2">
      <c r="A5" s="2" t="s">
        <v>12</v>
      </c>
      <c r="B5" s="3">
        <v>3.54400902933387</v>
      </c>
    </row>
    <row r="6" spans="1:2" x14ac:dyDescent="0.2">
      <c r="A6" s="2" t="s">
        <v>14</v>
      </c>
      <c r="B6" s="3">
        <v>4.7074409183759283</v>
      </c>
    </row>
    <row r="7" spans="1:2" x14ac:dyDescent="0.2">
      <c r="A7" s="2" t="s">
        <v>10</v>
      </c>
      <c r="B7" s="3">
        <v>2</v>
      </c>
    </row>
    <row r="8" spans="1:2" x14ac:dyDescent="0.2">
      <c r="A8" s="2" t="s">
        <v>8</v>
      </c>
      <c r="B8" s="3">
        <v>4.3748015828022293</v>
      </c>
    </row>
    <row r="9" spans="1:2" x14ac:dyDescent="0.2">
      <c r="A9" s="2" t="s">
        <v>38</v>
      </c>
      <c r="B9" s="3">
        <v>12.412896519346321</v>
      </c>
    </row>
    <row r="12" spans="1:2" x14ac:dyDescent="0.2">
      <c r="B12" t="s">
        <v>40</v>
      </c>
    </row>
    <row r="13" spans="1:2" x14ac:dyDescent="0.2">
      <c r="B13" s="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8"/>
  <sheetViews>
    <sheetView tabSelected="1" topLeftCell="B1" workbookViewId="0">
      <selection activeCell="D58" sqref="D58"/>
    </sheetView>
  </sheetViews>
  <sheetFormatPr defaultColWidth="12.5703125" defaultRowHeight="15.75" customHeight="1" x14ac:dyDescent="0.2"/>
  <cols>
    <col min="1" max="1" width="14.85546875" customWidth="1"/>
    <col min="3" max="3" width="13.85546875" customWidth="1"/>
    <col min="4" max="4" width="19.140625" bestFit="1" customWidth="1"/>
    <col min="5" max="5" width="18.7109375" customWidth="1"/>
    <col min="6" max="6" width="19.7109375" customWidth="1"/>
    <col min="7" max="7" width="21.140625" customWidth="1"/>
    <col min="8" max="8" width="16" bestFit="1" customWidth="1"/>
    <col min="10" max="10" width="56.28515625" bestFit="1" customWidth="1"/>
    <col min="11" max="11" width="16.42578125" customWidth="1"/>
    <col min="12" max="12" width="21.5703125" bestFit="1" customWidth="1"/>
    <col min="13" max="13" width="19.7109375" customWidth="1"/>
    <col min="14" max="14" width="21.140625" customWidth="1"/>
  </cols>
  <sheetData>
    <row r="1" spans="1:14" ht="15.7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42</v>
      </c>
      <c r="I1" s="8" t="s">
        <v>48</v>
      </c>
      <c r="J1" s="9" t="s">
        <v>49</v>
      </c>
    </row>
    <row r="2" spans="1:14" ht="15.75" customHeight="1" x14ac:dyDescent="0.25">
      <c r="A2" s="10">
        <v>107</v>
      </c>
      <c r="B2" s="11" t="s">
        <v>18</v>
      </c>
      <c r="C2" s="11" t="s">
        <v>14</v>
      </c>
      <c r="D2" s="11">
        <v>50</v>
      </c>
      <c r="E2" s="11">
        <v>80</v>
      </c>
      <c r="F2" s="11">
        <v>100</v>
      </c>
      <c r="G2" s="12">
        <v>5</v>
      </c>
      <c r="H2" s="13">
        <f>Table1[[#This Row],[Productivity_Score]]*Table1[[#This Row],[Performance_Rating]]/Table1[[#This Row],[Hours_Worked]]</f>
        <v>10</v>
      </c>
      <c r="I2" s="14">
        <f>RANK(Table1[[#This Row],[PEI]],Table1[PEI],0)</f>
        <v>9</v>
      </c>
      <c r="J2" s="15">
        <f>Table1[[#This Row],[Tasks_Completed]] / Table1[[#This Row],[Hours_Worked]]</f>
        <v>1.6</v>
      </c>
    </row>
    <row r="3" spans="1:14" ht="15.75" customHeight="1" x14ac:dyDescent="0.25">
      <c r="A3" s="10">
        <v>125</v>
      </c>
      <c r="B3" s="11" t="s">
        <v>36</v>
      </c>
      <c r="C3" s="11" t="s">
        <v>14</v>
      </c>
      <c r="D3" s="11">
        <v>47</v>
      </c>
      <c r="E3" s="11">
        <v>79</v>
      </c>
      <c r="F3" s="11">
        <v>99</v>
      </c>
      <c r="G3" s="12">
        <v>5</v>
      </c>
      <c r="H3" s="11">
        <f>Table1[[#This Row],[Productivity_Score]]*Table1[[#This Row],[Performance_Rating]]/Table1[[#This Row],[Hours_Worked]]</f>
        <v>10.531914893617021</v>
      </c>
      <c r="I3" s="12">
        <f>RANK(Table1[[#This Row],[PEI]],Table1[PEI],0)</f>
        <v>6</v>
      </c>
      <c r="J3" s="15">
        <f>Table1[[#This Row],[Tasks_Completed]] / Table1[[#This Row],[Hours_Worked]]</f>
        <v>1.6808510638297873</v>
      </c>
    </row>
    <row r="4" spans="1:14" ht="15.75" customHeight="1" x14ac:dyDescent="0.25">
      <c r="A4" s="10">
        <v>115</v>
      </c>
      <c r="B4" s="11" t="s">
        <v>26</v>
      </c>
      <c r="C4" s="11" t="s">
        <v>14</v>
      </c>
      <c r="D4" s="11">
        <v>48</v>
      </c>
      <c r="E4" s="11">
        <v>78</v>
      </c>
      <c r="F4" s="11">
        <v>98</v>
      </c>
      <c r="G4" s="12">
        <v>5</v>
      </c>
      <c r="H4" s="11">
        <f>Table1[[#This Row],[Productivity_Score]]*Table1[[#This Row],[Performance_Rating]]/Table1[[#This Row],[Hours_Worked]]</f>
        <v>10.208333333333334</v>
      </c>
      <c r="I4" s="12">
        <f>RANK(Table1[[#This Row],[PEI]],Table1[PEI],0)</f>
        <v>8</v>
      </c>
      <c r="J4" s="15">
        <f>Table1[[#This Row],[Tasks_Completed]] / Table1[[#This Row],[Hours_Worked]]</f>
        <v>1.625</v>
      </c>
    </row>
    <row r="5" spans="1:14" ht="15.75" customHeight="1" x14ac:dyDescent="0.25">
      <c r="A5" s="10">
        <v>123</v>
      </c>
      <c r="B5" s="11" t="s">
        <v>34</v>
      </c>
      <c r="C5" s="11" t="s">
        <v>10</v>
      </c>
      <c r="D5" s="11">
        <v>46</v>
      </c>
      <c r="E5" s="11">
        <v>77</v>
      </c>
      <c r="F5" s="11">
        <v>96</v>
      </c>
      <c r="G5" s="12">
        <v>5</v>
      </c>
      <c r="H5" s="11">
        <f>Table1[[#This Row],[Productivity_Score]]*Table1[[#This Row],[Performance_Rating]]/Table1[[#This Row],[Hours_Worked]]</f>
        <v>10.434782608695652</v>
      </c>
      <c r="I5" s="12">
        <f>RANK(Table1[[#This Row],[PEI]],Table1[PEI],0)</f>
        <v>7</v>
      </c>
      <c r="J5" s="15">
        <f>Table1[[#This Row],[Tasks_Completed]] / Table1[[#This Row],[Hours_Worked]]</f>
        <v>1.673913043478261</v>
      </c>
    </row>
    <row r="6" spans="1:14" ht="15.75" customHeight="1" x14ac:dyDescent="0.25">
      <c r="A6" s="10">
        <v>104</v>
      </c>
      <c r="B6" s="11" t="s">
        <v>13</v>
      </c>
      <c r="C6" s="11" t="s">
        <v>14</v>
      </c>
      <c r="D6" s="11">
        <v>45</v>
      </c>
      <c r="E6" s="11">
        <v>75</v>
      </c>
      <c r="F6" s="11">
        <v>95</v>
      </c>
      <c r="G6" s="12">
        <v>5</v>
      </c>
      <c r="H6" s="11">
        <f>Table1[[#This Row],[Productivity_Score]]*Table1[[#This Row],[Performance_Rating]]/Table1[[#This Row],[Hours_Worked]]</f>
        <v>10.555555555555555</v>
      </c>
      <c r="I6" s="12">
        <f>RANK(Table1[[#This Row],[PEI]],Table1[PEI],0)</f>
        <v>5</v>
      </c>
      <c r="J6" s="15">
        <f>Table1[[#This Row],[Tasks_Completed]] / Table1[[#This Row],[Hours_Worked]]</f>
        <v>1.6666666666666667</v>
      </c>
    </row>
    <row r="7" spans="1:14" ht="15.75" customHeight="1" x14ac:dyDescent="0.25">
      <c r="A7" s="10">
        <v>112</v>
      </c>
      <c r="B7" s="11" t="s">
        <v>23</v>
      </c>
      <c r="C7" s="11" t="s">
        <v>10</v>
      </c>
      <c r="D7" s="11">
        <v>44</v>
      </c>
      <c r="E7" s="11">
        <v>73</v>
      </c>
      <c r="F7" s="11">
        <v>94</v>
      </c>
      <c r="G7" s="12">
        <v>5</v>
      </c>
      <c r="H7" s="11">
        <f>Table1[[#This Row],[Productivity_Score]]*Table1[[#This Row],[Performance_Rating]]/Table1[[#This Row],[Hours_Worked]]</f>
        <v>10.681818181818182</v>
      </c>
      <c r="I7" s="12">
        <f>RANK(Table1[[#This Row],[PEI]],Table1[PEI],0)</f>
        <v>4</v>
      </c>
      <c r="J7" s="15">
        <f>Table1[[#This Row],[Tasks_Completed]] / Table1[[#This Row],[Hours_Worked]]</f>
        <v>1.6590909090909092</v>
      </c>
    </row>
    <row r="8" spans="1:14" ht="15.75" customHeight="1" x14ac:dyDescent="0.25">
      <c r="A8" s="10">
        <v>118</v>
      </c>
      <c r="B8" s="11" t="s">
        <v>29</v>
      </c>
      <c r="C8" s="11" t="s">
        <v>10</v>
      </c>
      <c r="D8" s="11">
        <v>43</v>
      </c>
      <c r="E8" s="11">
        <v>75</v>
      </c>
      <c r="F8" s="11">
        <v>93</v>
      </c>
      <c r="G8" s="12">
        <v>5</v>
      </c>
      <c r="H8" s="11">
        <f>Table1[[#This Row],[Productivity_Score]]*Table1[[#This Row],[Performance_Rating]]/Table1[[#This Row],[Hours_Worked]]</f>
        <v>10.813953488372093</v>
      </c>
      <c r="I8" s="12">
        <f>RANK(Table1[[#This Row],[PEI]],Table1[PEI],0)</f>
        <v>3</v>
      </c>
      <c r="J8" s="15">
        <f>Table1[[#This Row],[Tasks_Completed]] / Table1[[#This Row],[Hours_Worked]]</f>
        <v>1.7441860465116279</v>
      </c>
      <c r="L8" s="19" t="s">
        <v>50</v>
      </c>
      <c r="M8">
        <f>MAX(J2:J26)</f>
        <v>1.7441860465116279</v>
      </c>
      <c r="N8" t="str" cm="1">
        <f t="array" ref="N8">_xlfn.XLOOKUP(MAX(J2:J26),Table1[Tasks Per Hour],B2:B26)</f>
        <v>Arjun</v>
      </c>
    </row>
    <row r="9" spans="1:14" ht="15.75" customHeight="1" x14ac:dyDescent="0.25">
      <c r="A9" s="10">
        <v>109</v>
      </c>
      <c r="B9" s="11" t="s">
        <v>20</v>
      </c>
      <c r="C9" s="11" t="s">
        <v>10</v>
      </c>
      <c r="D9" s="11">
        <v>42</v>
      </c>
      <c r="E9" s="11">
        <v>70</v>
      </c>
      <c r="F9" s="11">
        <v>92</v>
      </c>
      <c r="G9" s="12">
        <v>5</v>
      </c>
      <c r="H9" s="11">
        <f>Table1[[#This Row],[Productivity_Score]]*Table1[[#This Row],[Performance_Rating]]/Table1[[#This Row],[Hours_Worked]]</f>
        <v>10.952380952380953</v>
      </c>
      <c r="I9" s="12">
        <f>RANK(Table1[[#This Row],[PEI]],Table1[PEI],0)</f>
        <v>2</v>
      </c>
      <c r="J9" s="15">
        <f>Table1[[#This Row],[Tasks_Completed]] / Table1[[#This Row],[Hours_Worked]]</f>
        <v>1.6666666666666667</v>
      </c>
      <c r="L9" s="19" t="s">
        <v>51</v>
      </c>
      <c r="N9" t="str" cm="1">
        <f t="array" ref="N9">_xlfn.XLOOKUP(MAX(J2:J26),Table1[Tasks Per Hour],C2:C26)</f>
        <v>Marketing</v>
      </c>
    </row>
    <row r="10" spans="1:14" ht="15.75" customHeight="1" x14ac:dyDescent="0.25">
      <c r="A10" s="10">
        <v>102</v>
      </c>
      <c r="B10" s="11" t="s">
        <v>9</v>
      </c>
      <c r="C10" s="11" t="s">
        <v>10</v>
      </c>
      <c r="D10" s="11">
        <v>40</v>
      </c>
      <c r="E10" s="11">
        <v>65</v>
      </c>
      <c r="F10" s="11">
        <v>90</v>
      </c>
      <c r="G10" s="12">
        <v>5</v>
      </c>
      <c r="H10" s="11">
        <f>Table1[[#This Row],[Productivity_Score]]*Table1[[#This Row],[Performance_Rating]]/Table1[[#This Row],[Hours_Worked]]</f>
        <v>11.25</v>
      </c>
      <c r="I10" s="12">
        <f>RANK(Table1[[#This Row],[PEI]],Table1[PEI],0)</f>
        <v>1</v>
      </c>
      <c r="J10" s="15">
        <f>Table1[[#This Row],[Tasks_Completed]] / Table1[[#This Row],[Hours_Worked]]</f>
        <v>1.625</v>
      </c>
    </row>
    <row r="11" spans="1:14" ht="15.75" customHeight="1" x14ac:dyDescent="0.25">
      <c r="A11" s="10">
        <v>114</v>
      </c>
      <c r="B11" s="11" t="s">
        <v>25</v>
      </c>
      <c r="C11" s="11" t="s">
        <v>8</v>
      </c>
      <c r="D11" s="11">
        <v>41</v>
      </c>
      <c r="E11" s="11">
        <v>66</v>
      </c>
      <c r="F11" s="11">
        <v>89</v>
      </c>
      <c r="G11" s="12">
        <v>4</v>
      </c>
      <c r="H11" s="11">
        <f>Table1[[#This Row],[Productivity_Score]]*Table1[[#This Row],[Performance_Rating]]/Table1[[#This Row],[Hours_Worked]]</f>
        <v>8.6829268292682933</v>
      </c>
      <c r="I11" s="12">
        <f>RANK(Table1[[#This Row],[PEI]],Table1[PEI],0)</f>
        <v>14</v>
      </c>
      <c r="J11" s="15">
        <f>Table1[[#This Row],[Tasks_Completed]] / Table1[[#This Row],[Hours_Worked]]</f>
        <v>1.6097560975609757</v>
      </c>
    </row>
    <row r="12" spans="1:14" ht="15.75" customHeight="1" x14ac:dyDescent="0.25">
      <c r="A12" s="10">
        <v>119</v>
      </c>
      <c r="B12" s="11" t="s">
        <v>30</v>
      </c>
      <c r="C12" s="11" t="s">
        <v>14</v>
      </c>
      <c r="D12" s="11">
        <v>39</v>
      </c>
      <c r="E12" s="11">
        <v>60</v>
      </c>
      <c r="F12" s="11">
        <v>87</v>
      </c>
      <c r="G12" s="12">
        <v>4</v>
      </c>
      <c r="H12" s="11">
        <f>Table1[[#This Row],[Productivity_Score]]*Table1[[#This Row],[Performance_Rating]]/Table1[[#This Row],[Hours_Worked]]</f>
        <v>8.9230769230769234</v>
      </c>
      <c r="I12" s="12">
        <f>RANK(Table1[[#This Row],[PEI]],Table1[PEI],0)</f>
        <v>13</v>
      </c>
      <c r="J12" s="15">
        <f>Table1[[#This Row],[Tasks_Completed]] / Table1[[#This Row],[Hours_Worked]]</f>
        <v>1.5384615384615385</v>
      </c>
    </row>
    <row r="13" spans="1:14" ht="15.75" customHeight="1" x14ac:dyDescent="0.25">
      <c r="A13" s="10">
        <v>106</v>
      </c>
      <c r="B13" s="11" t="s">
        <v>17</v>
      </c>
      <c r="C13" s="11" t="s">
        <v>8</v>
      </c>
      <c r="D13" s="11">
        <v>38</v>
      </c>
      <c r="E13" s="11">
        <v>58</v>
      </c>
      <c r="F13" s="11">
        <v>85</v>
      </c>
      <c r="G13" s="12">
        <v>4</v>
      </c>
      <c r="H13" s="11">
        <f>Table1[[#This Row],[Productivity_Score]]*Table1[[#This Row],[Performance_Rating]]/Table1[[#This Row],[Hours_Worked]]</f>
        <v>8.9473684210526319</v>
      </c>
      <c r="I13" s="12">
        <f>RANK(Table1[[#This Row],[PEI]],Table1[PEI],0)</f>
        <v>12</v>
      </c>
      <c r="J13" s="15">
        <f>Table1[[#This Row],[Tasks_Completed]] / Table1[[#This Row],[Hours_Worked]]</f>
        <v>1.5263157894736843</v>
      </c>
    </row>
    <row r="14" spans="1:14" ht="15.75" customHeight="1" x14ac:dyDescent="0.25">
      <c r="A14" s="10">
        <v>110</v>
      </c>
      <c r="B14" s="11" t="s">
        <v>21</v>
      </c>
      <c r="C14" s="11" t="s">
        <v>8</v>
      </c>
      <c r="D14" s="11">
        <v>37</v>
      </c>
      <c r="E14" s="11">
        <v>55</v>
      </c>
      <c r="F14" s="11">
        <v>83</v>
      </c>
      <c r="G14" s="12">
        <v>4</v>
      </c>
      <c r="H14" s="11">
        <f>Table1[[#This Row],[Productivity_Score]]*Table1[[#This Row],[Performance_Rating]]/Table1[[#This Row],[Hours_Worked]]</f>
        <v>8.9729729729729737</v>
      </c>
      <c r="I14" s="12">
        <f>RANK(Table1[[#This Row],[PEI]],Table1[PEI],0)</f>
        <v>11</v>
      </c>
      <c r="J14" s="15">
        <f>Table1[[#This Row],[Tasks_Completed]] / Table1[[#This Row],[Hours_Worked]]</f>
        <v>1.4864864864864864</v>
      </c>
    </row>
    <row r="15" spans="1:14" ht="15.75" customHeight="1" x14ac:dyDescent="0.25">
      <c r="A15" s="10">
        <v>101</v>
      </c>
      <c r="B15" s="11" t="s">
        <v>7</v>
      </c>
      <c r="C15" s="11" t="s">
        <v>8</v>
      </c>
      <c r="D15" s="11">
        <v>35</v>
      </c>
      <c r="E15" s="11">
        <v>50</v>
      </c>
      <c r="F15" s="11">
        <v>80</v>
      </c>
      <c r="G15" s="12">
        <v>4</v>
      </c>
      <c r="H15" s="11">
        <f>Table1[[#This Row],[Productivity_Score]]*Table1[[#This Row],[Performance_Rating]]/Table1[[#This Row],[Hours_Worked]]</f>
        <v>9.1428571428571423</v>
      </c>
      <c r="I15" s="12">
        <f>RANK(Table1[[#This Row],[PEI]],Table1[PEI],0)</f>
        <v>10</v>
      </c>
      <c r="J15" s="15">
        <f>Table1[[#This Row],[Tasks_Completed]] / Table1[[#This Row],[Hours_Worked]]</f>
        <v>1.4285714285714286</v>
      </c>
    </row>
    <row r="16" spans="1:14" ht="15.75" customHeight="1" x14ac:dyDescent="0.25">
      <c r="A16" s="10">
        <v>120</v>
      </c>
      <c r="B16" s="11" t="s">
        <v>31</v>
      </c>
      <c r="C16" s="11" t="s">
        <v>8</v>
      </c>
      <c r="D16" s="11">
        <v>36</v>
      </c>
      <c r="E16" s="11">
        <v>52</v>
      </c>
      <c r="F16" s="11">
        <v>78</v>
      </c>
      <c r="G16" s="12">
        <v>4</v>
      </c>
      <c r="H16" s="11">
        <f>Table1[[#This Row],[Productivity_Score]]*Table1[[#This Row],[Performance_Rating]]/Table1[[#This Row],[Hours_Worked]]</f>
        <v>8.6666666666666661</v>
      </c>
      <c r="I16" s="12">
        <f>RANK(Table1[[#This Row],[PEI]],Table1[PEI],0)</f>
        <v>15</v>
      </c>
      <c r="J16" s="15">
        <f>Table1[[#This Row],[Tasks_Completed]] / Table1[[#This Row],[Hours_Worked]]</f>
        <v>1.4444444444444444</v>
      </c>
    </row>
    <row r="17" spans="1:10" ht="15.75" customHeight="1" x14ac:dyDescent="0.25">
      <c r="A17" s="10">
        <v>124</v>
      </c>
      <c r="B17" s="11" t="s">
        <v>35</v>
      </c>
      <c r="C17" s="11" t="s">
        <v>8</v>
      </c>
      <c r="D17" s="11">
        <v>34</v>
      </c>
      <c r="E17" s="11">
        <v>48</v>
      </c>
      <c r="F17" s="11">
        <v>76</v>
      </c>
      <c r="G17" s="12">
        <v>3</v>
      </c>
      <c r="H17" s="11">
        <f>Table1[[#This Row],[Productivity_Score]]*Table1[[#This Row],[Performance_Rating]]/Table1[[#This Row],[Hours_Worked]]</f>
        <v>6.7058823529411766</v>
      </c>
      <c r="I17" s="12">
        <f>RANK(Table1[[#This Row],[PEI]],Table1[PEI],0)</f>
        <v>22</v>
      </c>
      <c r="J17" s="15">
        <f>Table1[[#This Row],[Tasks_Completed]] / Table1[[#This Row],[Hours_Worked]]</f>
        <v>1.411764705882353</v>
      </c>
    </row>
    <row r="18" spans="1:10" ht="15.75" customHeight="1" x14ac:dyDescent="0.25">
      <c r="A18" s="10">
        <v>113</v>
      </c>
      <c r="B18" s="11" t="s">
        <v>24</v>
      </c>
      <c r="C18" s="11" t="s">
        <v>12</v>
      </c>
      <c r="D18" s="11">
        <v>33</v>
      </c>
      <c r="E18" s="11">
        <v>45</v>
      </c>
      <c r="F18" s="11">
        <v>75</v>
      </c>
      <c r="G18" s="12">
        <v>3</v>
      </c>
      <c r="H18" s="11">
        <f>Table1[[#This Row],[Productivity_Score]]*Table1[[#This Row],[Performance_Rating]]/Table1[[#This Row],[Hours_Worked]]</f>
        <v>6.8181818181818183</v>
      </c>
      <c r="I18" s="12">
        <f>RANK(Table1[[#This Row],[PEI]],Table1[PEI],0)</f>
        <v>21</v>
      </c>
      <c r="J18" s="15">
        <f>Table1[[#This Row],[Tasks_Completed]] / Table1[[#This Row],[Hours_Worked]]</f>
        <v>1.3636363636363635</v>
      </c>
    </row>
    <row r="19" spans="1:10" ht="15.75" customHeight="1" x14ac:dyDescent="0.25">
      <c r="A19" s="10">
        <v>122</v>
      </c>
      <c r="B19" s="11" t="s">
        <v>33</v>
      </c>
      <c r="C19" s="11" t="s">
        <v>12</v>
      </c>
      <c r="D19" s="11">
        <v>32</v>
      </c>
      <c r="E19" s="11">
        <v>44</v>
      </c>
      <c r="F19" s="11">
        <v>74</v>
      </c>
      <c r="G19" s="12">
        <v>3</v>
      </c>
      <c r="H19" s="11">
        <f>Table1[[#This Row],[Productivity_Score]]*Table1[[#This Row],[Performance_Rating]]/Table1[[#This Row],[Hours_Worked]]</f>
        <v>6.9375</v>
      </c>
      <c r="I19" s="12">
        <f>RANK(Table1[[#This Row],[PEI]],Table1[PEI],0)</f>
        <v>20</v>
      </c>
      <c r="J19" s="15">
        <f>Table1[[#This Row],[Tasks_Completed]] / Table1[[#This Row],[Hours_Worked]]</f>
        <v>1.375</v>
      </c>
    </row>
    <row r="20" spans="1:10" ht="15.75" customHeight="1" x14ac:dyDescent="0.25">
      <c r="A20" s="10">
        <v>117</v>
      </c>
      <c r="B20" s="11" t="s">
        <v>28</v>
      </c>
      <c r="C20" s="11" t="s">
        <v>12</v>
      </c>
      <c r="D20" s="11">
        <v>31</v>
      </c>
      <c r="E20" s="11">
        <v>42</v>
      </c>
      <c r="F20" s="11">
        <v>72</v>
      </c>
      <c r="G20" s="12">
        <v>3</v>
      </c>
      <c r="H20" s="11">
        <f>Table1[[#This Row],[Productivity_Score]]*Table1[[#This Row],[Performance_Rating]]/Table1[[#This Row],[Hours_Worked]]</f>
        <v>6.967741935483871</v>
      </c>
      <c r="I20" s="12">
        <f>RANK(Table1[[#This Row],[PEI]],Table1[PEI],0)</f>
        <v>18</v>
      </c>
      <c r="J20" s="15">
        <f>Table1[[#This Row],[Tasks_Completed]] / Table1[[#This Row],[Hours_Worked]]</f>
        <v>1.3548387096774193</v>
      </c>
    </row>
    <row r="21" spans="1:10" ht="15.75" customHeight="1" x14ac:dyDescent="0.25">
      <c r="A21" s="10">
        <v>103</v>
      </c>
      <c r="B21" s="11" t="s">
        <v>11</v>
      </c>
      <c r="C21" s="11" t="s">
        <v>12</v>
      </c>
      <c r="D21" s="11">
        <v>30</v>
      </c>
      <c r="E21" s="11">
        <v>40</v>
      </c>
      <c r="F21" s="11">
        <v>70</v>
      </c>
      <c r="G21" s="12">
        <v>3</v>
      </c>
      <c r="H21" s="11">
        <f>Table1[[#This Row],[Productivity_Score]]*Table1[[#This Row],[Performance_Rating]]/Table1[[#This Row],[Hours_Worked]]</f>
        <v>7</v>
      </c>
      <c r="I21" s="12">
        <f>RANK(Table1[[#This Row],[PEI]],Table1[PEI],0)</f>
        <v>17</v>
      </c>
      <c r="J21" s="15">
        <f>Table1[[#This Row],[Tasks_Completed]] / Table1[[#This Row],[Hours_Worked]]</f>
        <v>1.3333333333333333</v>
      </c>
    </row>
    <row r="22" spans="1:10" ht="15.75" customHeight="1" x14ac:dyDescent="0.25">
      <c r="A22" s="10">
        <v>111</v>
      </c>
      <c r="B22" s="11" t="s">
        <v>22</v>
      </c>
      <c r="C22" s="11" t="s">
        <v>16</v>
      </c>
      <c r="D22" s="11">
        <v>29</v>
      </c>
      <c r="E22" s="11">
        <v>38</v>
      </c>
      <c r="F22" s="11">
        <v>68</v>
      </c>
      <c r="G22" s="12">
        <v>3</v>
      </c>
      <c r="H22" s="11">
        <f>Table1[[#This Row],[Productivity_Score]]*Table1[[#This Row],[Performance_Rating]]/Table1[[#This Row],[Hours_Worked]]</f>
        <v>7.0344827586206895</v>
      </c>
      <c r="I22" s="12">
        <f>RANK(Table1[[#This Row],[PEI]],Table1[PEI],0)</f>
        <v>16</v>
      </c>
      <c r="J22" s="15">
        <f>Table1[[#This Row],[Tasks_Completed]] / Table1[[#This Row],[Hours_Worked]]</f>
        <v>1.3103448275862069</v>
      </c>
    </row>
    <row r="23" spans="1:10" ht="15" x14ac:dyDescent="0.25">
      <c r="A23" s="10">
        <v>108</v>
      </c>
      <c r="B23" s="11" t="s">
        <v>19</v>
      </c>
      <c r="C23" s="11" t="s">
        <v>12</v>
      </c>
      <c r="D23" s="11">
        <v>28</v>
      </c>
      <c r="E23" s="11">
        <v>35</v>
      </c>
      <c r="F23" s="11">
        <v>65</v>
      </c>
      <c r="G23" s="12">
        <v>3</v>
      </c>
      <c r="H23" s="11">
        <f>Table1[[#This Row],[Productivity_Score]]*Table1[[#This Row],[Performance_Rating]]/Table1[[#This Row],[Hours_Worked]]</f>
        <v>6.9642857142857144</v>
      </c>
      <c r="I23" s="12">
        <f>RANK(Table1[[#This Row],[PEI]],Table1[PEI],0)</f>
        <v>19</v>
      </c>
      <c r="J23" s="15">
        <f>Table1[[#This Row],[Tasks_Completed]] / Table1[[#This Row],[Hours_Worked]]</f>
        <v>1.25</v>
      </c>
    </row>
    <row r="24" spans="1:10" ht="15" x14ac:dyDescent="0.25">
      <c r="A24" s="10">
        <v>121</v>
      </c>
      <c r="B24" s="11" t="s">
        <v>32</v>
      </c>
      <c r="C24" s="11" t="s">
        <v>16</v>
      </c>
      <c r="D24" s="11">
        <v>27</v>
      </c>
      <c r="E24" s="11">
        <v>34</v>
      </c>
      <c r="F24" s="11">
        <v>64</v>
      </c>
      <c r="G24" s="12">
        <v>2</v>
      </c>
      <c r="H24" s="11">
        <f>Table1[[#This Row],[Productivity_Score]]*Table1[[#This Row],[Performance_Rating]]/Table1[[#This Row],[Hours_Worked]]</f>
        <v>4.7407407407407405</v>
      </c>
      <c r="I24" s="12">
        <f>RANK(Table1[[#This Row],[PEI]],Table1[PEI],0)</f>
        <v>25</v>
      </c>
      <c r="J24" s="15">
        <f>Table1[[#This Row],[Tasks_Completed]] / Table1[[#This Row],[Hours_Worked]]</f>
        <v>1.2592592592592593</v>
      </c>
    </row>
    <row r="25" spans="1:10" ht="15" x14ac:dyDescent="0.25">
      <c r="A25" s="10">
        <v>116</v>
      </c>
      <c r="B25" s="11" t="s">
        <v>27</v>
      </c>
      <c r="C25" s="11" t="s">
        <v>16</v>
      </c>
      <c r="D25" s="11">
        <v>26</v>
      </c>
      <c r="E25" s="11">
        <v>32</v>
      </c>
      <c r="F25" s="11">
        <v>62</v>
      </c>
      <c r="G25" s="12">
        <v>2</v>
      </c>
      <c r="H25" s="11">
        <f>Table1[[#This Row],[Productivity_Score]]*Table1[[#This Row],[Performance_Rating]]/Table1[[#This Row],[Hours_Worked]]</f>
        <v>4.7692307692307692</v>
      </c>
      <c r="I25" s="12">
        <f>RANK(Table1[[#This Row],[PEI]],Table1[PEI],0)</f>
        <v>24</v>
      </c>
      <c r="J25" s="15">
        <f>Table1[[#This Row],[Tasks_Completed]] / Table1[[#This Row],[Hours_Worked]]</f>
        <v>1.2307692307692308</v>
      </c>
    </row>
    <row r="26" spans="1:10" ht="15" x14ac:dyDescent="0.25">
      <c r="A26" s="16">
        <v>105</v>
      </c>
      <c r="B26" s="17" t="s">
        <v>15</v>
      </c>
      <c r="C26" s="17" t="s">
        <v>16</v>
      </c>
      <c r="D26" s="17">
        <v>25</v>
      </c>
      <c r="E26" s="17">
        <v>30</v>
      </c>
      <c r="F26" s="17">
        <v>60</v>
      </c>
      <c r="G26" s="18">
        <v>2</v>
      </c>
      <c r="H26" s="17">
        <f>Table1[[#This Row],[Productivity_Score]]*Table1[[#This Row],[Performance_Rating]]/Table1[[#This Row],[Hours_Worked]]</f>
        <v>4.8</v>
      </c>
      <c r="I26" s="18">
        <f>RANK(Table1[[#This Row],[PEI]],Table1[PEI],0)</f>
        <v>23</v>
      </c>
      <c r="J26" s="15">
        <f>Table1[[#This Row],[Tasks_Completed]] / Table1[[#This Row],[Hours_Worked]]</f>
        <v>1.2</v>
      </c>
    </row>
    <row r="30" spans="1:10" ht="15.75" customHeight="1" x14ac:dyDescent="0.2">
      <c r="H30" s="19" t="s">
        <v>43</v>
      </c>
      <c r="I30">
        <f>CORREL(Table1[Hours_Worked],Table1[Performance_Rating])</f>
        <v>0.94623485838187738</v>
      </c>
    </row>
    <row r="31" spans="1:10" ht="15.75" customHeight="1" x14ac:dyDescent="0.2">
      <c r="H31" s="19" t="s">
        <v>44</v>
      </c>
      <c r="I31">
        <f>CORREL(Table1[Tasks_Completed],Table1[Performance_Rating])</f>
        <v>0.9574553703647628</v>
      </c>
    </row>
    <row r="32" spans="1:10" ht="15.75" customHeight="1" x14ac:dyDescent="0.2">
      <c r="J32" s="19" t="s">
        <v>45</v>
      </c>
    </row>
    <row r="35" spans="8:17" ht="15.75" customHeight="1" x14ac:dyDescent="0.2">
      <c r="H35" s="5" cm="1">
        <f t="array" ref="H35:Q37">_xlfn._xlws.FILTER(Table1[], (Table1[Performance_Rating]&gt;=4)*(Table1[Hours_Worked]&lt;AVERAGE(Table1[Hours_Worked])))</f>
        <v>110</v>
      </c>
      <c r="I35" s="5" t="str">
        <v>Sneha</v>
      </c>
      <c r="J35" s="5" t="str">
        <v>Sales</v>
      </c>
      <c r="K35" s="5">
        <v>37</v>
      </c>
      <c r="L35" s="5">
        <v>55</v>
      </c>
      <c r="M35" s="5">
        <v>83</v>
      </c>
      <c r="N35" s="5">
        <v>4</v>
      </c>
      <c r="O35" s="5">
        <v>8.9729729729729737</v>
      </c>
      <c r="P35">
        <v>11</v>
      </c>
      <c r="Q35">
        <v>1.4864864864864864</v>
      </c>
    </row>
    <row r="36" spans="8:17" ht="15.75" customHeight="1" x14ac:dyDescent="0.2">
      <c r="H36" s="5">
        <v>101</v>
      </c>
      <c r="I36" s="5" t="str">
        <v>Aakash</v>
      </c>
      <c r="J36" s="5" t="str">
        <v>Sales</v>
      </c>
      <c r="K36" s="5">
        <v>35</v>
      </c>
      <c r="L36" s="5">
        <v>50</v>
      </c>
      <c r="M36" s="5">
        <v>80</v>
      </c>
      <c r="N36" s="5">
        <v>4</v>
      </c>
      <c r="O36" s="5">
        <v>9.1428571428571423</v>
      </c>
      <c r="P36">
        <v>10</v>
      </c>
      <c r="Q36">
        <v>1.4285714285714286</v>
      </c>
    </row>
    <row r="37" spans="8:17" ht="15.75" customHeight="1" x14ac:dyDescent="0.2">
      <c r="H37" s="5">
        <v>120</v>
      </c>
      <c r="I37" s="5" t="str">
        <v>Suman</v>
      </c>
      <c r="J37" s="5" t="str">
        <v>Sales</v>
      </c>
      <c r="K37" s="5">
        <v>36</v>
      </c>
      <c r="L37" s="5">
        <v>52</v>
      </c>
      <c r="M37" s="5">
        <v>78</v>
      </c>
      <c r="N37" s="5">
        <v>4</v>
      </c>
      <c r="O37" s="5">
        <v>8.6666666666666661</v>
      </c>
      <c r="P37">
        <v>15</v>
      </c>
      <c r="Q37">
        <v>1.4444444444444444</v>
      </c>
    </row>
    <row r="40" spans="8:17" ht="15.75" customHeight="1" x14ac:dyDescent="0.2">
      <c r="J40" s="19" t="s">
        <v>47</v>
      </c>
    </row>
    <row r="58" spans="4:4" ht="15.75" customHeight="1" x14ac:dyDescent="0.2">
      <c r="D58" s="19" t="s">
        <v>46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</dc:creator>
  <cp:lastModifiedBy>Omer Ahmad Sayed</cp:lastModifiedBy>
  <dcterms:created xsi:type="dcterms:W3CDTF">2026-03-24T14:18:55Z</dcterms:created>
  <dcterms:modified xsi:type="dcterms:W3CDTF">2026-03-24T14:18:56Z</dcterms:modified>
</cp:coreProperties>
</file>